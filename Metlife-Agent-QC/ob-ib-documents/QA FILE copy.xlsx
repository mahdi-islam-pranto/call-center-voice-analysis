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B" state="visible" r:id="rId4"/>
    <sheet sheetId="2" name="OB" state="visible" r:id="rId5"/>
  </sheets>
  <calcPr calcId="171027"/>
</workbook>
</file>

<file path=xl/sharedStrings.xml><?xml version="1.0" encoding="utf-8"?>
<sst xmlns="http://schemas.openxmlformats.org/spreadsheetml/2006/main" count="73" uniqueCount="47">
  <si>
    <t>Date</t>
  </si>
  <si>
    <t xml:space="preserve">Caller 
Number</t>
  </si>
  <si>
    <t xml:space="preserve">Policy 
Number(s)</t>
  </si>
  <si>
    <t xml:space="preserve">TSR
Name</t>
  </si>
  <si>
    <t>GEID</t>
  </si>
  <si>
    <t>IB/OB</t>
  </si>
  <si>
    <t>Greetings</t>
  </si>
  <si>
    <t xml:space="preserve">Caller 
Authentication</t>
  </si>
  <si>
    <t xml:space="preserve">Telephony 
Etiquette </t>
  </si>
  <si>
    <t>Pronunciation</t>
  </si>
  <si>
    <t xml:space="preserve">Issue 
Identification</t>
  </si>
  <si>
    <t xml:space="preserve">Information 
Accuracy</t>
  </si>
  <si>
    <t xml:space="preserve">Issue 
Resolution</t>
  </si>
  <si>
    <t xml:space="preserve">Handling 
Time</t>
  </si>
  <si>
    <t>Complaint Handling</t>
  </si>
  <si>
    <t>FCR</t>
  </si>
  <si>
    <t>Attentiveness/Focus</t>
  </si>
  <si>
    <t>Closing</t>
  </si>
  <si>
    <t>Call Rating</t>
  </si>
  <si>
    <t>Total</t>
  </si>
  <si>
    <t xml:space="preserve">Agent 
Counselling</t>
  </si>
  <si>
    <t>Remarks</t>
  </si>
  <si>
    <t>QA</t>
  </si>
  <si>
    <t>Sun May 17 2026 06:00:00 GMT+0600 (Bangladesh Standard Time)</t>
  </si>
  <si>
    <t>01755597700</t>
  </si>
  <si>
    <t>RUMANA AFROZE</t>
  </si>
  <si>
    <t>Inbound</t>
  </si>
  <si>
    <t>Talk to TSR</t>
  </si>
  <si>
    <t xml:space="preserve">Issue  Identification
</t>
  </si>
  <si>
    <t>Priyanka Islam</t>
  </si>
  <si>
    <t>Sun May 03 2026 06:00:00 GMT+0600 (Bangladesh Standard Time)</t>
  </si>
  <si>
    <t>01711581250</t>
  </si>
  <si>
    <t>AKILA ANJUM</t>
  </si>
  <si>
    <t>tonality , information accuracy, over call</t>
  </si>
  <si>
    <t xml:space="preserve">Calling 
Date</t>
  </si>
  <si>
    <t xml:space="preserve">Pronunciation </t>
  </si>
  <si>
    <t>Script Following</t>
  </si>
  <si>
    <t xml:space="preserve">Complaint 
Handling</t>
  </si>
  <si>
    <t>Wed May 20 2026 06:00:00 GMT+0600 (Bangladesh Standard Time)</t>
  </si>
  <si>
    <t>01716355816</t>
  </si>
  <si>
    <t>MIM HAIDER</t>
  </si>
  <si>
    <t>Outbound</t>
  </si>
  <si>
    <t>Pronunciation ,Attentiveness,Closing</t>
  </si>
  <si>
    <t>wec.</t>
  </si>
  <si>
    <t>01911296659</t>
  </si>
  <si>
    <t>etiquette,Pronunciation,, script,Focus</t>
  </si>
  <si>
    <t>fm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</si>
</sst>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6" x14ac:knownFonts="1">
    <font>
      <color theme="1"/>
      <family val="2"/>
      <scheme val="minor"/>
      <sz val="11"/>
      <name val="Calibri"/>
    </font>
    <font>
      <b/>
      <sz val="10"/>
      <name val="Tisa Offc Serif Pro"/>
    </font>
    <font>
      <sz val="10"/>
      <name val="Tisa Offc Serif Pro"/>
    </font>
    <font>
      <sz val="10"/>
      <name val="Calibri"/>
    </font>
    <font>
      <sz val="11"/>
      <name val="Calibri"/>
    </font>
    <font>
      <color rgb="FF000000"/>
      <sz val="10"/>
      <name val="Tisa Offc Serif Pro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top" wrapText="1"/>
    </xf>
    <xf numFmtId="0" fontId="2" fillId="0" borderId="0" xfId="0" applyFont="1" applyAlignment="1">
      <alignment horizontal="center" vertical="center"/>
    </xf>
    <xf numFmtId="0" fontId="3" fillId="0" borderId="0" xfId="0" applyFont="1"/>
    <xf numFmtId="49" fontId="2" fillId="0" borderId="1" xfId="0" applyNumberFormat="1" applyFont="1" applyBorder="1" applyAlignment="1">
      <alignment horizontal="center" vertical="center"/>
    </xf>
    <xf numFmtId="0" fontId="4" fillId="0" borderId="0" xfId="0" applyFont="1"/>
    <xf numFmtId="0" fontId="2" fillId="0" borderId="0" xfId="0" applyFont="1" applyAlignment="1">
      <alignment horizontal="center" vertical="top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9"/>
  <sheetFormatPr defaultRowHeight="15" outlineLevelRow="0" outlineLevelCol="0" x14ac:dyDescent="55"/>
  <cols>
    <col min="1" max="1" width="11.571428571428571" customWidth="1"/>
    <col min="2" max="2" width="18.142857142857142" customWidth="1"/>
    <col min="3" max="18" width="13.571428571428571" customWidth="1"/>
    <col min="19" max="19" width="9.571428571428571" customWidth="1"/>
    <col min="20" max="20" width="12.428571428571429" customWidth="1"/>
    <col min="21" max="32" width="13.571428571428571" customWidth="1"/>
  </cols>
  <sheetData>
    <row r="1" ht="62.25" customHeight="1" spans="1:23" x14ac:dyDescent="0.25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5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2" t="s">
        <v>20</v>
      </c>
      <c r="V1" s="4" t="s">
        <v>21</v>
      </c>
      <c r="W1" s="4" t="s">
        <v>22</v>
      </c>
    </row>
    <row r="2" ht="18" customHeight="1" spans="1:32" x14ac:dyDescent="0.25">
      <c r="A2" s="6" t="s">
        <v>23</v>
      </c>
      <c r="B2" s="7" t="s">
        <v>24</v>
      </c>
      <c r="C2" s="7">
        <v>10313786</v>
      </c>
      <c r="D2" s="8" t="s">
        <v>25</v>
      </c>
      <c r="E2" s="7">
        <v>3579407</v>
      </c>
      <c r="F2" s="7" t="s">
        <v>26</v>
      </c>
      <c r="G2" s="7">
        <v>5</v>
      </c>
      <c r="H2" s="7">
        <v>4</v>
      </c>
      <c r="I2" s="7">
        <v>3</v>
      </c>
      <c r="J2" s="7">
        <v>5</v>
      </c>
      <c r="K2" s="7">
        <v>3</v>
      </c>
      <c r="L2" s="7">
        <v>3</v>
      </c>
      <c r="M2" s="7">
        <v>4</v>
      </c>
      <c r="N2" s="7">
        <v>4</v>
      </c>
      <c r="O2" s="7">
        <v>4</v>
      </c>
      <c r="P2" s="7">
        <v>4</v>
      </c>
      <c r="Q2" s="7">
        <v>3</v>
      </c>
      <c r="R2" s="7">
        <v>2</v>
      </c>
      <c r="S2" s="9">
        <f>T2/60</f>
      </c>
      <c r="T2" s="7">
        <f>SUM(G2:R2)</f>
      </c>
      <c r="U2" s="7" t="s">
        <v>27</v>
      </c>
      <c r="V2" s="10" t="s">
        <v>28</v>
      </c>
      <c r="W2" s="7" t="s">
        <v>29</v>
      </c>
      <c r="X2" s="11"/>
      <c r="Y2" s="12"/>
      <c r="Z2" s="12"/>
      <c r="AA2" s="12"/>
      <c r="AB2" s="12"/>
      <c r="AC2" s="12"/>
      <c r="AD2" s="12"/>
      <c r="AE2" s="12"/>
      <c r="AF2" s="12"/>
    </row>
    <row r="3" ht="15.75" customHeight="1" spans="1:32" x14ac:dyDescent="0.25">
      <c r="A3" s="6" t="s">
        <v>30</v>
      </c>
      <c r="B3" s="7" t="s">
        <v>31</v>
      </c>
      <c r="C3" s="7">
        <v>4409395</v>
      </c>
      <c r="D3" s="7" t="s">
        <v>32</v>
      </c>
      <c r="E3" s="8">
        <v>3544649</v>
      </c>
      <c r="F3" s="7" t="s">
        <v>26</v>
      </c>
      <c r="G3" s="7">
        <v>5</v>
      </c>
      <c r="H3" s="7">
        <v>5</v>
      </c>
      <c r="I3" s="7">
        <v>3</v>
      </c>
      <c r="J3" s="7">
        <v>4</v>
      </c>
      <c r="K3" s="7">
        <v>5</v>
      </c>
      <c r="L3" s="7">
        <v>5</v>
      </c>
      <c r="M3" s="7">
        <v>4</v>
      </c>
      <c r="N3" s="7">
        <v>4</v>
      </c>
      <c r="O3" s="7">
        <v>5</v>
      </c>
      <c r="P3" s="7">
        <v>5</v>
      </c>
      <c r="Q3" s="7">
        <v>4</v>
      </c>
      <c r="R3" s="7">
        <v>4</v>
      </c>
      <c r="S3" s="9">
        <f>T3/60</f>
      </c>
      <c r="T3" s="7">
        <f>SUM(G3:R3)</f>
      </c>
      <c r="U3" s="7" t="s">
        <v>27</v>
      </c>
      <c r="V3" s="7" t="s">
        <v>33</v>
      </c>
      <c r="W3" s="7" t="s">
        <v>29</v>
      </c>
      <c r="X3" s="11"/>
      <c r="Y3" s="12"/>
      <c r="Z3" s="12"/>
      <c r="AA3" s="12"/>
      <c r="AB3" s="12"/>
      <c r="AC3" s="12"/>
      <c r="AD3" s="12"/>
      <c r="AE3" s="12"/>
      <c r="AF3" s="12"/>
    </row>
    <row r="4" ht="15.75" customHeight="1" spans="1:32" x14ac:dyDescent="0.25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9"/>
      <c r="T4" s="7"/>
      <c r="U4" s="7"/>
      <c r="V4" s="7"/>
      <c r="W4" s="7"/>
      <c r="X4" s="11"/>
      <c r="Y4" s="12"/>
      <c r="Z4" s="12"/>
      <c r="AA4" s="12"/>
      <c r="AB4" s="12"/>
      <c r="AC4" s="12"/>
      <c r="AD4" s="12"/>
      <c r="AE4" s="12"/>
      <c r="AF4" s="12"/>
    </row>
    <row r="5" ht="18.75" customHeight="1" spans="1:24" x14ac:dyDescent="0.25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9"/>
      <c r="T5" s="7"/>
      <c r="U5" s="7"/>
      <c r="V5" s="7"/>
      <c r="W5" s="7"/>
      <c r="X5" s="11"/>
    </row>
    <row r="6" ht="15.75" customHeight="1" spans="1:32" x14ac:dyDescent="0.25">
      <c r="A6" s="6"/>
      <c r="B6" s="7"/>
      <c r="C6" s="7"/>
      <c r="D6" s="7"/>
      <c r="E6" s="13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9"/>
      <c r="T6" s="7"/>
      <c r="U6" s="7"/>
      <c r="V6" s="7"/>
      <c r="W6" s="7"/>
      <c r="X6" s="11"/>
      <c r="Y6" s="12"/>
      <c r="Z6" s="12"/>
      <c r="AA6" s="12"/>
      <c r="AB6" s="12"/>
      <c r="AC6" s="12"/>
      <c r="AD6" s="12"/>
      <c r="AE6" s="12"/>
      <c r="AF6" s="12"/>
    </row>
    <row r="7" ht="17.25" customHeight="1" spans="1:32" x14ac:dyDescent="0.25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9"/>
      <c r="T7" s="7"/>
      <c r="U7" s="7"/>
      <c r="V7" s="7"/>
      <c r="W7" s="7"/>
      <c r="X7" s="11"/>
      <c r="Y7" s="12"/>
      <c r="Z7" s="12"/>
      <c r="AA7" s="12"/>
      <c r="AB7" s="12"/>
      <c r="AC7" s="12"/>
      <c r="AD7" s="12"/>
      <c r="AE7" s="12"/>
      <c r="AF7" s="12"/>
    </row>
    <row r="8" ht="15.75" customHeight="1" spans="1:32" x14ac:dyDescent="0.25">
      <c r="A8" s="6"/>
      <c r="B8" s="7"/>
      <c r="C8" s="7"/>
      <c r="D8" s="7"/>
      <c r="E8" s="13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9"/>
      <c r="T8" s="7"/>
      <c r="U8" s="7"/>
      <c r="V8" s="7"/>
      <c r="W8" s="7"/>
      <c r="X8" s="11"/>
      <c r="Y8" s="12"/>
      <c r="Z8" s="12"/>
      <c r="AA8" s="12"/>
      <c r="AB8" s="12"/>
      <c r="AC8" s="12"/>
      <c r="AD8" s="12"/>
      <c r="AE8" s="12"/>
      <c r="AF8" s="12"/>
    </row>
    <row r="9" spans="1:32" x14ac:dyDescent="0.2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</row>
  </sheetData>
  <dataValidations count="4">
    <dataValidation type="decimal" operator="greaterThanOrEqual" allowBlank="1" sqref="E3:E6">
      <formula1>0</formula1>
    </dataValidation>
    <dataValidation type="decimal" operator="greaterThanOrEqual" allowBlank="1" sqref="E8">
      <formula1>0</formula1>
    </dataValidation>
    <dataValidation type="list" allowBlank="1" sqref="F2:F8">
      <formula1>"Inbound,Outbound"</formula1>
    </dataValidation>
    <dataValidation type="list" allowBlank="1" sqref="G2:R8">
      <formula1>"5,4,3,2,1,0"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"/>
  <sheetFormatPr defaultRowHeight="15" outlineLevelRow="0" outlineLevelCol="0" x14ac:dyDescent="55"/>
  <cols>
    <col min="1" max="1" width="13.571428571428571" customWidth="1"/>
    <col min="2" max="2" width="13.285714285714286" customWidth="1"/>
    <col min="3" max="3" width="12" customWidth="1"/>
    <col min="4" max="4" width="18.857142857142858" customWidth="1"/>
    <col min="5" max="15" width="9.285714285714286" customWidth="1"/>
    <col min="16" max="16" width="11" customWidth="1"/>
    <col min="17" max="22" width="9.285714285714286" customWidth="1"/>
    <col min="23" max="24" width="13.571428571428571" customWidth="1"/>
  </cols>
  <sheetData>
    <row r="1" ht="62.25" customHeight="1" spans="1:21" x14ac:dyDescent="0.25">
      <c r="A1" s="1" t="s">
        <v>34</v>
      </c>
      <c r="B1" s="2" t="s">
        <v>1</v>
      </c>
      <c r="C1" s="2" t="s">
        <v>2</v>
      </c>
      <c r="D1" s="2" t="s">
        <v>3</v>
      </c>
      <c r="E1" s="4" t="s">
        <v>4</v>
      </c>
      <c r="F1" s="4" t="s">
        <v>5</v>
      </c>
      <c r="G1" s="4" t="s">
        <v>6</v>
      </c>
      <c r="H1" s="2" t="s">
        <v>7</v>
      </c>
      <c r="I1" s="2" t="s">
        <v>8</v>
      </c>
      <c r="J1" s="2" t="s">
        <v>35</v>
      </c>
      <c r="K1" s="2" t="s">
        <v>36</v>
      </c>
      <c r="L1" s="2" t="s">
        <v>13</v>
      </c>
      <c r="M1" s="2" t="s">
        <v>37</v>
      </c>
      <c r="N1" s="2" t="s">
        <v>16</v>
      </c>
      <c r="O1" s="4" t="s">
        <v>17</v>
      </c>
      <c r="P1" s="4" t="s">
        <v>18</v>
      </c>
      <c r="Q1" s="4" t="s">
        <v>19</v>
      </c>
      <c r="R1" s="2" t="s">
        <v>20</v>
      </c>
      <c r="S1" s="4" t="s">
        <v>21</v>
      </c>
      <c r="T1" s="4" t="s">
        <v>22</v>
      </c>
      <c r="U1" s="11"/>
    </row>
    <row r="2" ht="15" customHeight="1" spans="1:21" x14ac:dyDescent="0.25">
      <c r="A2" s="6"/>
      <c r="B2" s="7"/>
      <c r="C2" s="7"/>
      <c r="D2" s="7"/>
      <c r="E2" s="15"/>
      <c r="F2" s="7"/>
      <c r="G2" s="7"/>
      <c r="H2" s="7"/>
      <c r="I2" s="7"/>
      <c r="J2" s="7"/>
      <c r="K2" s="7"/>
      <c r="L2" s="7"/>
      <c r="M2" s="7"/>
      <c r="N2" s="7"/>
      <c r="O2" s="7"/>
      <c r="P2" s="9"/>
      <c r="Q2" s="7"/>
      <c r="R2" s="7"/>
      <c r="S2" s="7"/>
      <c r="T2" s="7"/>
      <c r="U2" s="16"/>
    </row>
    <row r="3" ht="19.5" customHeight="1" spans="1:21" x14ac:dyDescent="0.25">
      <c r="A3" s="6"/>
      <c r="B3" s="7"/>
      <c r="C3" s="17"/>
      <c r="D3" s="8"/>
      <c r="E3" s="11"/>
      <c r="F3" s="7"/>
      <c r="G3" s="7"/>
      <c r="H3" s="7"/>
      <c r="I3" s="7"/>
      <c r="J3" s="7"/>
      <c r="K3" s="7"/>
      <c r="L3" s="7"/>
      <c r="M3" s="7"/>
      <c r="N3" s="7"/>
      <c r="O3" s="7"/>
      <c r="P3" s="9"/>
      <c r="Q3" s="7"/>
      <c r="R3" s="7"/>
      <c r="S3" s="7"/>
      <c r="T3" s="7"/>
      <c r="U3" s="11"/>
    </row>
    <row r="4" ht="15.75" customHeight="1" spans="1:21" x14ac:dyDescent="0.25">
      <c r="A4" s="6"/>
      <c r="B4" s="7"/>
      <c r="C4" s="7"/>
      <c r="D4" s="18"/>
      <c r="E4" s="19"/>
      <c r="F4" s="7"/>
      <c r="G4" s="7"/>
      <c r="H4" s="7"/>
      <c r="I4" s="7"/>
      <c r="J4" s="7"/>
      <c r="K4" s="7"/>
      <c r="L4" s="7"/>
      <c r="M4" s="7"/>
      <c r="N4" s="7"/>
      <c r="O4" s="7"/>
      <c r="P4" s="9"/>
      <c r="Q4" s="7"/>
      <c r="R4" s="7"/>
      <c r="S4" s="7"/>
      <c r="T4" s="7"/>
      <c r="U4" s="16"/>
    </row>
    <row r="5" ht="15.75" customHeight="1" spans="1:21" x14ac:dyDescent="0.25">
      <c r="A5" s="6" t="s">
        <v>38</v>
      </c>
      <c r="B5" s="7" t="s">
        <v>39</v>
      </c>
      <c r="C5" s="7">
        <v>10425587</v>
      </c>
      <c r="D5" s="8" t="s">
        <v>40</v>
      </c>
      <c r="E5" s="20">
        <v>3636544</v>
      </c>
      <c r="F5" s="7" t="s">
        <v>41</v>
      </c>
      <c r="G5" s="7">
        <v>5</v>
      </c>
      <c r="H5" s="7">
        <v>5</v>
      </c>
      <c r="I5" s="7">
        <v>4</v>
      </c>
      <c r="J5" s="7">
        <v>3</v>
      </c>
      <c r="K5" s="7">
        <v>5</v>
      </c>
      <c r="L5" s="7">
        <v>4</v>
      </c>
      <c r="M5" s="7">
        <v>5</v>
      </c>
      <c r="N5" s="7">
        <v>4</v>
      </c>
      <c r="O5" s="7">
        <v>4</v>
      </c>
      <c r="P5" s="9">
        <f>Q5/45</f>
      </c>
      <c r="Q5" s="7">
        <f>SUM(G5:O5)</f>
      </c>
      <c r="R5" s="7" t="s">
        <v>27</v>
      </c>
      <c r="S5" s="7" t="s">
        <v>42</v>
      </c>
      <c r="T5" s="7" t="s">
        <v>29</v>
      </c>
      <c r="U5" s="16" t="s">
        <v>43</v>
      </c>
    </row>
    <row r="6" ht="15.75" customHeight="1" spans="1:21" x14ac:dyDescent="0.25">
      <c r="A6" s="6" t="s">
        <v>23</v>
      </c>
      <c r="B6" s="7" t="s">
        <v>44</v>
      </c>
      <c r="C6" s="7">
        <v>2348815</v>
      </c>
      <c r="D6" s="7" t="s">
        <v>32</v>
      </c>
      <c r="E6" s="8">
        <v>3544649</v>
      </c>
      <c r="F6" s="7" t="s">
        <v>41</v>
      </c>
      <c r="G6" s="7">
        <v>4</v>
      </c>
      <c r="H6" s="7">
        <v>4</v>
      </c>
      <c r="I6" s="7">
        <v>3</v>
      </c>
      <c r="J6" s="7">
        <v>4</v>
      </c>
      <c r="K6" s="7">
        <v>4</v>
      </c>
      <c r="L6" s="7">
        <v>4</v>
      </c>
      <c r="M6" s="7">
        <v>5</v>
      </c>
      <c r="N6" s="7">
        <v>4</v>
      </c>
      <c r="O6" s="7">
        <v>4</v>
      </c>
      <c r="P6" s="9">
        <f>Q6/45</f>
      </c>
      <c r="Q6" s="7">
        <f>SUM(G6:O6)</f>
      </c>
      <c r="R6" s="7" t="s">
        <v>27</v>
      </c>
      <c r="S6" s="7" t="s">
        <v>45</v>
      </c>
      <c r="T6" s="7" t="s">
        <v>29</v>
      </c>
      <c r="U6" s="16" t="s">
        <v>46</v>
      </c>
    </row>
    <row r="7" ht="15.75" customHeight="1" spans="1:21" x14ac:dyDescent="0.25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9"/>
      <c r="Q7" s="7"/>
      <c r="R7" s="7"/>
      <c r="S7" s="7"/>
      <c r="T7" s="7"/>
      <c r="U7" s="16"/>
    </row>
    <row r="8" ht="15.75" customHeight="1" spans="1:22" x14ac:dyDescent="0.25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9"/>
      <c r="Q8" s="7"/>
      <c r="R8" s="7"/>
      <c r="S8" s="7"/>
      <c r="T8" s="7"/>
      <c r="U8" s="11"/>
      <c r="V8" s="11"/>
    </row>
  </sheetData>
  <dataValidations count="3">
    <dataValidation type="decimal" operator="greaterThanOrEqual" allowBlank="1" sqref="E6">
      <formula1>0</formula1>
    </dataValidation>
    <dataValidation type="list" allowBlank="1" sqref="F2:F8">
      <formula1>"Inbound,Outbound"</formula1>
    </dataValidation>
    <dataValidation type="list" allowBlank="1" sqref="G2:O8">
      <formula1>"5,4,3,2,1,0"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IB</vt:lpstr>
      <vt:lpstr>OB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2026-08-13T09:36:07Z</dcterms:created>
  <dcterms:modified xsi:type="dcterms:W3CDTF">2026-08-13T09:36:07Z</dcterms:modified>
</cp:coreProperties>
</file>