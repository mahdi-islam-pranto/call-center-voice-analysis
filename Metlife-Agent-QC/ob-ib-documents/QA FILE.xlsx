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ydrive.metlife.com/personal/priyanka_islam_metlife_com_bd/Documents/Desktop/"/>
    </mc:Choice>
  </mc:AlternateContent>
  <xr:revisionPtr revIDLastSave="34" documentId="11_F25DC773A252ABDACC104859A95C6A885BDE58EC" xr6:coauthVersionLast="47" xr6:coauthVersionMax="47" xr10:uidLastSave="{ED192827-AC84-4EC4-BDCD-E9D1D5F7B9ED}"/>
  <bookViews>
    <workbookView xWindow="-110" yWindow="-110" windowWidth="19420" windowHeight="10300" activeTab="1" xr2:uid="{00000000-000D-0000-FFFF-FFFF00000000}"/>
  </bookViews>
  <sheets>
    <sheet name="IB" sheetId="1" r:id="rId1"/>
    <sheet name="O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P8" i="2" s="1"/>
  <c r="Q7" i="2"/>
  <c r="P7" i="2"/>
  <c r="Q6" i="2"/>
  <c r="P6" i="2" s="1"/>
  <c r="Q5" i="2"/>
  <c r="P5" i="2" s="1"/>
  <c r="Q4" i="2"/>
  <c r="P4" i="2" s="1"/>
  <c r="Q3" i="2"/>
  <c r="P3" i="2" s="1"/>
  <c r="Q2" i="2"/>
  <c r="P2" i="2" s="1"/>
  <c r="T8" i="1"/>
  <c r="S8" i="1" s="1"/>
  <c r="T7" i="1"/>
  <c r="S7" i="1" s="1"/>
  <c r="T6" i="1"/>
  <c r="S6" i="1" s="1"/>
  <c r="T5" i="1"/>
  <c r="S5" i="1" s="1"/>
  <c r="T4" i="1"/>
  <c r="S4" i="1" s="1"/>
  <c r="T3" i="1"/>
  <c r="S3" i="1" s="1"/>
  <c r="T2" i="1"/>
  <c r="S2" i="1" s="1"/>
</calcChain>
</file>

<file path=xl/sharedStrings.xml><?xml version="1.0" encoding="utf-8"?>
<sst xmlns="http://schemas.openxmlformats.org/spreadsheetml/2006/main" count="122" uniqueCount="72">
  <si>
    <t>Date</t>
  </si>
  <si>
    <t>Caller 
Number</t>
  </si>
  <si>
    <t>Policy 
Number(s)</t>
  </si>
  <si>
    <t>TSR
Name</t>
  </si>
  <si>
    <t>GEID</t>
  </si>
  <si>
    <t>IB/OB</t>
  </si>
  <si>
    <t>Greetings</t>
  </si>
  <si>
    <t>Caller 
Authentication</t>
  </si>
  <si>
    <t xml:space="preserve">Telephony 
Etiquette </t>
  </si>
  <si>
    <t>Pronunciation</t>
  </si>
  <si>
    <t>Issue 
Identification</t>
  </si>
  <si>
    <t>Information 
Accuracy</t>
  </si>
  <si>
    <t>Issue 
Resolution</t>
  </si>
  <si>
    <t>Handling 
Time</t>
  </si>
  <si>
    <t>Complaint Handling</t>
  </si>
  <si>
    <t>FCR</t>
  </si>
  <si>
    <t>Attentiveness/Focus</t>
  </si>
  <si>
    <t>Closing</t>
  </si>
  <si>
    <t>Call Rating</t>
  </si>
  <si>
    <t>Total</t>
  </si>
  <si>
    <t>Agent 
Counselling</t>
  </si>
  <si>
    <t>Remarks</t>
  </si>
  <si>
    <t>QA</t>
  </si>
  <si>
    <t>Calling 
Date</t>
  </si>
  <si>
    <t xml:space="preserve">Pronunciation </t>
  </si>
  <si>
    <t>Script Following</t>
  </si>
  <si>
    <t>Complaint 
Handling</t>
  </si>
  <si>
    <t>01755597700</t>
  </si>
  <si>
    <t>RUMANA AFROZE</t>
  </si>
  <si>
    <t>Inbound</t>
  </si>
  <si>
    <t>Talk to TSR</t>
  </si>
  <si>
    <t xml:space="preserve">Issue  Identification
</t>
  </si>
  <si>
    <t>Priyanka Islam</t>
  </si>
  <si>
    <t>01711581250</t>
  </si>
  <si>
    <t>AKILA ANJUM</t>
  </si>
  <si>
    <t>tonality , information accuracy, over call</t>
  </si>
  <si>
    <t>01945879235</t>
  </si>
  <si>
    <t>mp36407939</t>
  </si>
  <si>
    <t>TASLIMA AKTER</t>
  </si>
  <si>
    <t>01711334722</t>
  </si>
  <si>
    <t xml:space="preserve">SUKLA RANI </t>
  </si>
  <si>
    <t>01684109942</t>
  </si>
  <si>
    <t>MITU SERAO</t>
  </si>
  <si>
    <t>3217818</t>
  </si>
  <si>
    <t>01916041239</t>
  </si>
  <si>
    <t>SHABNAM SULTANA</t>
  </si>
  <si>
    <t>8802223360331</t>
  </si>
  <si>
    <t>TAHMINA AKTER Sr.</t>
  </si>
  <si>
    <t>3190419</t>
  </si>
  <si>
    <t>01756339321</t>
  </si>
  <si>
    <t>NUSRAT JAHAN NAFISHA</t>
  </si>
  <si>
    <t>Outbound</t>
  </si>
  <si>
    <t>01819444426</t>
  </si>
  <si>
    <t>ZANNAT ARA MOLY</t>
  </si>
  <si>
    <t>Pronunciation ,Script Following</t>
  </si>
  <si>
    <t>01511100803</t>
  </si>
  <si>
    <t>TAINA AKTER JUI</t>
  </si>
  <si>
    <t>Pronunciation ,Attentiveness, over call</t>
  </si>
  <si>
    <t>wec.</t>
  </si>
  <si>
    <t>01716355816</t>
  </si>
  <si>
    <t>MIM HAIDER</t>
  </si>
  <si>
    <t>Pronunciation ,Attentiveness,Closing</t>
  </si>
  <si>
    <t>01911296659</t>
  </si>
  <si>
    <t>etiquette,Pronunciation,, script,Focus</t>
  </si>
  <si>
    <t>fm</t>
  </si>
  <si>
    <t>01917937172</t>
  </si>
  <si>
    <t>SHABIKUN SONY</t>
  </si>
  <si>
    <t>etiquette,Pronunciation,Information gap, script</t>
  </si>
  <si>
    <t>01734970093</t>
  </si>
  <si>
    <t>B1007169</t>
  </si>
  <si>
    <t>NAFIZA ALAM</t>
  </si>
  <si>
    <t xml:space="preserve">     Bank policy gd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</si>
</sst>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sa Offc Serif Pro"/>
    </font>
    <font>
      <sz val="10"/>
      <color theme="1"/>
      <name val="Tisa Offc Serif Pro"/>
    </font>
    <font>
      <sz val="10"/>
      <color theme="1"/>
      <name val="Calibri"/>
      <family val="2"/>
      <scheme val="minor"/>
    </font>
    <font>
      <sz val="10"/>
      <name val="Arial Unicode MS"/>
      <family val="2"/>
    </font>
    <font>
      <sz val="10"/>
      <name val="Tisa Offc Serif Pro"/>
    </font>
    <font>
      <sz val="10"/>
      <color rgb="FF000000"/>
      <name val="Tisa Offc Serif Pr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3" borderId="0" xfId="0" applyFont="1" applyFill="1"/>
    <xf numFmtId="164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right" vertical="top" wrapText="1" indent="1"/>
    </xf>
    <xf numFmtId="49" fontId="3" fillId="2" borderId="1" xfId="2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</cellXfs>
  <cellStyles count="3">
    <cellStyle name="Normal" xfId="0" builtinId="0"/>
    <cellStyle name="Normal 315" xfId="2" xr:uid="{30696756-55A3-4A93-A276-693C4B9512E1}"/>
    <cellStyle name="Percent" xfId="1" builtinId="5"/>
  </cellStyles>
  <dxfs count="2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workbookViewId="0">
      <selection activeCell="D13" sqref="D13"/>
    </sheetView>
  </sheetViews>
  <sheetFormatPr defaultRowHeight="14.5"/>
  <cols>
    <col min="1" max="1" width="11.6328125" customWidth="1"/>
    <col min="2" max="2" width="18.08984375" customWidth="1"/>
    <col min="19" max="19" width="9.54296875" customWidth="1"/>
    <col min="20" max="20" width="12.36328125" customWidth="1"/>
  </cols>
  <sheetData>
    <row r="1" spans="1:32" ht="62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  <c r="W1" s="4" t="s">
        <v>22</v>
      </c>
    </row>
    <row r="2" spans="1:32" s="8" customFormat="1" ht="18" customHeight="1">
      <c r="A2" s="9">
        <v>46159</v>
      </c>
      <c r="B2" s="10" t="s">
        <v>27</v>
      </c>
      <c r="C2" s="11">
        <v>10313786</v>
      </c>
      <c r="D2" s="13" t="s">
        <v>28</v>
      </c>
      <c r="E2" s="11">
        <v>3579407</v>
      </c>
      <c r="F2" s="11" t="s">
        <v>29</v>
      </c>
      <c r="G2" s="11">
        <v>5</v>
      </c>
      <c r="H2" s="11">
        <v>4</v>
      </c>
      <c r="I2" s="11">
        <v>3</v>
      </c>
      <c r="J2" s="11">
        <v>5</v>
      </c>
      <c r="K2" s="11">
        <v>3</v>
      </c>
      <c r="L2" s="11">
        <v>3</v>
      </c>
      <c r="M2" s="11">
        <v>4</v>
      </c>
      <c r="N2" s="11">
        <v>4</v>
      </c>
      <c r="O2" s="11">
        <v>4</v>
      </c>
      <c r="P2" s="11">
        <v>4</v>
      </c>
      <c r="Q2" s="11">
        <v>3</v>
      </c>
      <c r="R2" s="11">
        <v>2</v>
      </c>
      <c r="S2" s="12">
        <f t="shared" ref="S2:S8" si="0">T2/60</f>
        <v>0.73333333333333328</v>
      </c>
      <c r="T2" s="11">
        <f t="shared" ref="T2:T8" si="1">SUM(G2:R2)</f>
        <v>44</v>
      </c>
      <c r="U2" s="11" t="s">
        <v>30</v>
      </c>
      <c r="V2" s="14" t="s">
        <v>31</v>
      </c>
      <c r="W2" s="11" t="s">
        <v>32</v>
      </c>
      <c r="X2" s="6"/>
      <c r="Y2" s="7"/>
      <c r="Z2" s="7"/>
      <c r="AA2" s="7"/>
      <c r="AB2" s="7"/>
      <c r="AC2" s="7"/>
      <c r="AD2" s="7"/>
      <c r="AE2" s="7"/>
      <c r="AF2" s="7"/>
    </row>
    <row r="3" spans="1:32" s="8" customFormat="1" ht="15.5">
      <c r="A3" s="9">
        <v>46145</v>
      </c>
      <c r="B3" s="10" t="s">
        <v>33</v>
      </c>
      <c r="C3" s="11">
        <v>4409395</v>
      </c>
      <c r="D3" s="11" t="s">
        <v>34</v>
      </c>
      <c r="E3" s="13">
        <v>3544649</v>
      </c>
      <c r="F3" s="11" t="s">
        <v>29</v>
      </c>
      <c r="G3" s="11">
        <v>5</v>
      </c>
      <c r="H3" s="11">
        <v>5</v>
      </c>
      <c r="I3" s="11">
        <v>3</v>
      </c>
      <c r="J3" s="11">
        <v>4</v>
      </c>
      <c r="K3" s="11">
        <v>5</v>
      </c>
      <c r="L3" s="11">
        <v>5</v>
      </c>
      <c r="M3" s="11">
        <v>4</v>
      </c>
      <c r="N3" s="11">
        <v>4</v>
      </c>
      <c r="O3" s="11">
        <v>5</v>
      </c>
      <c r="P3" s="11">
        <v>5</v>
      </c>
      <c r="Q3" s="11">
        <v>4</v>
      </c>
      <c r="R3" s="11">
        <v>4</v>
      </c>
      <c r="S3" s="12">
        <f t="shared" si="0"/>
        <v>0.8833333333333333</v>
      </c>
      <c r="T3" s="11">
        <f t="shared" si="1"/>
        <v>53</v>
      </c>
      <c r="U3" s="11" t="s">
        <v>30</v>
      </c>
      <c r="V3" s="10" t="s">
        <v>35</v>
      </c>
      <c r="W3" s="11" t="s">
        <v>32</v>
      </c>
      <c r="X3" s="6"/>
      <c r="Y3" s="7"/>
      <c r="Z3" s="7"/>
      <c r="AA3" s="7"/>
      <c r="AB3" s="7"/>
      <c r="AC3" s="7"/>
      <c r="AD3" s="7"/>
      <c r="AE3" s="7"/>
      <c r="AF3" s="7"/>
    </row>
    <row r="4" spans="1:32" s="8" customFormat="1" ht="15.5">
      <c r="A4" s="9">
        <v>46145</v>
      </c>
      <c r="B4" s="10" t="s">
        <v>36</v>
      </c>
      <c r="C4" s="11" t="s">
        <v>37</v>
      </c>
      <c r="D4" s="11" t="s">
        <v>38</v>
      </c>
      <c r="E4" s="11">
        <v>3376559</v>
      </c>
      <c r="F4" s="11" t="s">
        <v>29</v>
      </c>
      <c r="G4" s="11">
        <v>5</v>
      </c>
      <c r="H4" s="11">
        <v>5</v>
      </c>
      <c r="I4" s="11">
        <v>4</v>
      </c>
      <c r="J4" s="11">
        <v>5</v>
      </c>
      <c r="K4" s="11">
        <v>5</v>
      </c>
      <c r="L4" s="11">
        <v>5</v>
      </c>
      <c r="M4" s="11">
        <v>5</v>
      </c>
      <c r="N4" s="11">
        <v>3</v>
      </c>
      <c r="O4" s="11">
        <v>5</v>
      </c>
      <c r="P4" s="11">
        <v>5</v>
      </c>
      <c r="Q4" s="11">
        <v>4</v>
      </c>
      <c r="R4" s="11">
        <v>4</v>
      </c>
      <c r="S4" s="12">
        <f t="shared" si="0"/>
        <v>0.91666666666666663</v>
      </c>
      <c r="T4" s="11">
        <f t="shared" si="1"/>
        <v>55</v>
      </c>
      <c r="U4" s="11"/>
      <c r="V4" s="10"/>
      <c r="W4" s="11" t="s">
        <v>32</v>
      </c>
      <c r="X4" s="6"/>
      <c r="Y4" s="7"/>
      <c r="Z4" s="7"/>
      <c r="AA4" s="7"/>
      <c r="AB4" s="7"/>
      <c r="AC4" s="7"/>
      <c r="AD4" s="7"/>
      <c r="AE4" s="7"/>
      <c r="AF4" s="7"/>
    </row>
    <row r="5" spans="1:32" s="7" customFormat="1" ht="18.5" customHeight="1">
      <c r="A5" s="9">
        <v>46145</v>
      </c>
      <c r="B5" s="10" t="s">
        <v>39</v>
      </c>
      <c r="C5" s="11">
        <v>3392001</v>
      </c>
      <c r="D5" s="11" t="s">
        <v>40</v>
      </c>
      <c r="E5" s="11">
        <v>3376557</v>
      </c>
      <c r="F5" s="11" t="s">
        <v>29</v>
      </c>
      <c r="G5" s="11">
        <v>5</v>
      </c>
      <c r="H5" s="11">
        <v>4</v>
      </c>
      <c r="I5" s="11">
        <v>4</v>
      </c>
      <c r="J5" s="11">
        <v>4</v>
      </c>
      <c r="K5" s="11">
        <v>5</v>
      </c>
      <c r="L5" s="11">
        <v>5</v>
      </c>
      <c r="M5" s="11">
        <v>5</v>
      </c>
      <c r="N5" s="11">
        <v>4</v>
      </c>
      <c r="O5" s="11">
        <v>5</v>
      </c>
      <c r="P5" s="11">
        <v>5</v>
      </c>
      <c r="Q5" s="11">
        <v>4</v>
      </c>
      <c r="R5" s="11">
        <v>4</v>
      </c>
      <c r="S5" s="12">
        <f t="shared" si="0"/>
        <v>0.9</v>
      </c>
      <c r="T5" s="11">
        <f t="shared" si="1"/>
        <v>54</v>
      </c>
      <c r="U5" s="11"/>
      <c r="V5" s="10"/>
      <c r="W5" s="11" t="s">
        <v>32</v>
      </c>
      <c r="X5" s="6"/>
    </row>
    <row r="6" spans="1:32" s="8" customFormat="1" ht="15.5">
      <c r="A6" s="9">
        <v>46146</v>
      </c>
      <c r="B6" s="10" t="s">
        <v>41</v>
      </c>
      <c r="C6" s="11">
        <v>10156924</v>
      </c>
      <c r="D6" s="11" t="s">
        <v>42</v>
      </c>
      <c r="E6" s="15" t="s">
        <v>43</v>
      </c>
      <c r="F6" s="11" t="s">
        <v>29</v>
      </c>
      <c r="G6" s="11">
        <v>5</v>
      </c>
      <c r="H6" s="11">
        <v>5</v>
      </c>
      <c r="I6" s="11">
        <v>4</v>
      </c>
      <c r="J6" s="11">
        <v>5</v>
      </c>
      <c r="K6" s="11">
        <v>5</v>
      </c>
      <c r="L6" s="11">
        <v>5</v>
      </c>
      <c r="M6" s="11">
        <v>5</v>
      </c>
      <c r="N6" s="11">
        <v>4</v>
      </c>
      <c r="O6" s="11">
        <v>5</v>
      </c>
      <c r="P6" s="11">
        <v>5</v>
      </c>
      <c r="Q6" s="11">
        <v>4</v>
      </c>
      <c r="R6" s="11">
        <v>4</v>
      </c>
      <c r="S6" s="12">
        <f t="shared" si="0"/>
        <v>0.93333333333333335</v>
      </c>
      <c r="T6" s="11">
        <f t="shared" si="1"/>
        <v>56</v>
      </c>
      <c r="U6" s="11"/>
      <c r="V6" s="10"/>
      <c r="W6" s="11" t="s">
        <v>32</v>
      </c>
      <c r="X6" s="6"/>
      <c r="Y6" s="7"/>
      <c r="Z6" s="7"/>
      <c r="AA6" s="7"/>
      <c r="AB6" s="7"/>
      <c r="AC6" s="7"/>
      <c r="AD6" s="7"/>
      <c r="AE6" s="7"/>
      <c r="AF6" s="7"/>
    </row>
    <row r="7" spans="1:32" s="8" customFormat="1" ht="17" customHeight="1">
      <c r="A7" s="9">
        <v>46153</v>
      </c>
      <c r="B7" s="10" t="s">
        <v>44</v>
      </c>
      <c r="C7" s="11">
        <v>2345792</v>
      </c>
      <c r="D7" s="16" t="s">
        <v>45</v>
      </c>
      <c r="E7" s="11">
        <v>3452833</v>
      </c>
      <c r="F7" s="11" t="s">
        <v>29</v>
      </c>
      <c r="G7" s="11">
        <v>5</v>
      </c>
      <c r="H7" s="11">
        <v>5</v>
      </c>
      <c r="I7" s="11">
        <v>5</v>
      </c>
      <c r="J7" s="11">
        <v>5</v>
      </c>
      <c r="K7" s="11">
        <v>5</v>
      </c>
      <c r="L7" s="11">
        <v>5</v>
      </c>
      <c r="M7" s="11">
        <v>5</v>
      </c>
      <c r="N7" s="11">
        <v>4</v>
      </c>
      <c r="O7" s="11">
        <v>5</v>
      </c>
      <c r="P7" s="11">
        <v>4</v>
      </c>
      <c r="Q7" s="11">
        <v>5</v>
      </c>
      <c r="R7" s="11">
        <v>4</v>
      </c>
      <c r="S7" s="12">
        <f t="shared" si="0"/>
        <v>0.95</v>
      </c>
      <c r="T7" s="11">
        <f t="shared" si="1"/>
        <v>57</v>
      </c>
      <c r="U7" s="11"/>
      <c r="V7" s="10"/>
      <c r="W7" s="11" t="s">
        <v>32</v>
      </c>
      <c r="X7" s="6"/>
      <c r="Y7" s="7"/>
      <c r="Z7" s="7"/>
      <c r="AA7" s="7"/>
      <c r="AB7" s="7"/>
      <c r="AC7" s="7"/>
      <c r="AD7" s="7"/>
      <c r="AE7" s="7"/>
      <c r="AF7" s="7"/>
    </row>
    <row r="8" spans="1:32" s="8" customFormat="1" ht="15.5">
      <c r="A8" s="9">
        <v>46155</v>
      </c>
      <c r="B8" s="10" t="s">
        <v>46</v>
      </c>
      <c r="C8" s="11">
        <v>1210086</v>
      </c>
      <c r="D8" s="11" t="s">
        <v>47</v>
      </c>
      <c r="E8" s="15" t="s">
        <v>48</v>
      </c>
      <c r="F8" s="11" t="s">
        <v>29</v>
      </c>
      <c r="G8" s="11">
        <v>5</v>
      </c>
      <c r="H8" s="11">
        <v>5</v>
      </c>
      <c r="I8" s="11">
        <v>5</v>
      </c>
      <c r="J8" s="11">
        <v>5</v>
      </c>
      <c r="K8" s="11">
        <v>5</v>
      </c>
      <c r="L8" s="11">
        <v>5</v>
      </c>
      <c r="M8" s="11">
        <v>5</v>
      </c>
      <c r="N8" s="11">
        <v>4</v>
      </c>
      <c r="O8" s="11">
        <v>5</v>
      </c>
      <c r="P8" s="11">
        <v>5</v>
      </c>
      <c r="Q8" s="11">
        <v>5</v>
      </c>
      <c r="R8" s="11">
        <v>4</v>
      </c>
      <c r="S8" s="12">
        <f t="shared" si="0"/>
        <v>0.96666666666666667</v>
      </c>
      <c r="T8" s="11">
        <f t="shared" si="1"/>
        <v>58</v>
      </c>
      <c r="U8" s="11"/>
      <c r="V8" s="10"/>
      <c r="W8" s="11" t="s">
        <v>32</v>
      </c>
      <c r="X8" s="6"/>
      <c r="Y8" s="7"/>
      <c r="Z8" s="7"/>
      <c r="AA8" s="7"/>
      <c r="AB8" s="7"/>
      <c r="AC8" s="7"/>
      <c r="AD8" s="7"/>
      <c r="AE8" s="7"/>
      <c r="AF8" s="7"/>
    </row>
    <row r="9" spans="1:3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</sheetData>
  <conditionalFormatting sqref="B1">
    <cfRule type="duplicateValues" dxfId="286" priority="150"/>
  </conditionalFormatting>
  <conditionalFormatting sqref="B1:C1">
    <cfRule type="duplicateValues" dxfId="285" priority="154"/>
  </conditionalFormatting>
  <conditionalFormatting sqref="B1:C1">
    <cfRule type="duplicateValues" dxfId="284" priority="161"/>
  </conditionalFormatting>
  <conditionalFormatting sqref="B1:C1">
    <cfRule type="duplicateValues" dxfId="283" priority="162"/>
  </conditionalFormatting>
  <conditionalFormatting sqref="B1:C1">
    <cfRule type="duplicateValues" dxfId="282" priority="160"/>
  </conditionalFormatting>
  <conditionalFormatting sqref="B1:C1">
    <cfRule type="duplicateValues" dxfId="279" priority="156"/>
    <cfRule type="duplicateValues" dxfId="281" priority="158"/>
    <cfRule type="duplicateValues" dxfId="280" priority="159"/>
  </conditionalFormatting>
  <conditionalFormatting sqref="B1:C1">
    <cfRule type="duplicateValues" dxfId="278" priority="157"/>
  </conditionalFormatting>
  <conditionalFormatting sqref="B1:C1">
    <cfRule type="duplicateValues" dxfId="277" priority="155"/>
  </conditionalFormatting>
  <conditionalFormatting sqref="B1:C1">
    <cfRule type="duplicateValues" dxfId="276" priority="148"/>
    <cfRule type="duplicateValues" dxfId="275" priority="149"/>
  </conditionalFormatting>
  <conditionalFormatting sqref="C1">
    <cfRule type="duplicateValues" dxfId="274" priority="163"/>
  </conditionalFormatting>
  <conditionalFormatting sqref="D1">
    <cfRule type="duplicateValues" dxfId="273" priority="152"/>
    <cfRule type="duplicateValues" dxfId="272" priority="153"/>
  </conditionalFormatting>
  <conditionalFormatting sqref="D1:E1">
    <cfRule type="duplicateValues" dxfId="271" priority="151"/>
  </conditionalFormatting>
  <conditionalFormatting sqref="B2">
    <cfRule type="duplicateValues" dxfId="257" priority="139"/>
  </conditionalFormatting>
  <conditionalFormatting sqref="B2:C2">
    <cfRule type="duplicateValues" dxfId="256" priority="137"/>
  </conditionalFormatting>
  <conditionalFormatting sqref="B2:C2">
    <cfRule type="duplicateValues" dxfId="255" priority="145"/>
  </conditionalFormatting>
  <conditionalFormatting sqref="B2:C2">
    <cfRule type="duplicateValues" dxfId="254" priority="146"/>
  </conditionalFormatting>
  <conditionalFormatting sqref="B2:C2">
    <cfRule type="duplicateValues" dxfId="253" priority="144"/>
  </conditionalFormatting>
  <conditionalFormatting sqref="B2:C2">
    <cfRule type="duplicateValues" dxfId="250" priority="140"/>
    <cfRule type="duplicateValues" dxfId="252" priority="142"/>
    <cfRule type="duplicateValues" dxfId="251" priority="143"/>
  </conditionalFormatting>
  <conditionalFormatting sqref="B2:C2">
    <cfRule type="duplicateValues" dxfId="249" priority="141"/>
  </conditionalFormatting>
  <conditionalFormatting sqref="B2:C2">
    <cfRule type="duplicateValues" dxfId="248" priority="138"/>
  </conditionalFormatting>
  <conditionalFormatting sqref="B2:C2">
    <cfRule type="duplicateValues" dxfId="247" priority="135"/>
    <cfRule type="duplicateValues" dxfId="246" priority="136"/>
  </conditionalFormatting>
  <conditionalFormatting sqref="C2">
    <cfRule type="duplicateValues" dxfId="245" priority="147"/>
  </conditionalFormatting>
  <conditionalFormatting sqref="E2">
    <cfRule type="duplicateValues" dxfId="244" priority="130"/>
    <cfRule type="duplicateValues" dxfId="243" priority="131"/>
    <cfRule type="duplicateValues" dxfId="242" priority="132"/>
    <cfRule type="duplicateValues" dxfId="241" priority="133"/>
    <cfRule type="duplicateValues" dxfId="240" priority="134"/>
  </conditionalFormatting>
  <conditionalFormatting sqref="B3">
    <cfRule type="duplicateValues" dxfId="239" priority="124"/>
  </conditionalFormatting>
  <conditionalFormatting sqref="B3:C3">
    <cfRule type="duplicateValues" dxfId="238" priority="125"/>
  </conditionalFormatting>
  <conditionalFormatting sqref="B3:C3">
    <cfRule type="duplicateValues" dxfId="237" priority="127"/>
  </conditionalFormatting>
  <conditionalFormatting sqref="B3:C3">
    <cfRule type="duplicateValues" dxfId="236" priority="128"/>
  </conditionalFormatting>
  <conditionalFormatting sqref="B3:C3">
    <cfRule type="duplicateValues" dxfId="235" priority="126"/>
  </conditionalFormatting>
  <conditionalFormatting sqref="B3:C3">
    <cfRule type="duplicateValues" dxfId="234" priority="117"/>
    <cfRule type="duplicateValues" dxfId="230" priority="118"/>
    <cfRule type="duplicateValues" dxfId="231" priority="119"/>
    <cfRule type="duplicateValues" dxfId="232" priority="120"/>
    <cfRule type="duplicateValues" dxfId="233" priority="121"/>
  </conditionalFormatting>
  <conditionalFormatting sqref="B3:C3">
    <cfRule type="duplicateValues" dxfId="229" priority="122"/>
    <cfRule type="duplicateValues" dxfId="228" priority="123"/>
  </conditionalFormatting>
  <conditionalFormatting sqref="C3">
    <cfRule type="duplicateValues" dxfId="227" priority="129"/>
  </conditionalFormatting>
  <conditionalFormatting sqref="E3">
    <cfRule type="duplicateValues" dxfId="212" priority="102"/>
    <cfRule type="duplicateValues" dxfId="216" priority="103"/>
    <cfRule type="duplicateValues" dxfId="222" priority="104"/>
    <cfRule type="duplicateValues" dxfId="221" priority="105"/>
    <cfRule type="duplicateValues" dxfId="220" priority="106"/>
    <cfRule type="duplicateValues" dxfId="219" priority="107"/>
    <cfRule type="duplicateValues" dxfId="218" priority="108"/>
    <cfRule type="duplicateValues" dxfId="217" priority="109"/>
    <cfRule type="duplicateValues" dxfId="225" priority="110"/>
    <cfRule type="duplicateValues" dxfId="224" priority="111"/>
    <cfRule type="duplicateValues" dxfId="223" priority="112"/>
    <cfRule type="duplicateValues" dxfId="226" priority="113"/>
    <cfRule type="duplicateValues" dxfId="213" priority="114"/>
    <cfRule type="duplicateValues" dxfId="214" priority="115"/>
    <cfRule type="duplicateValues" dxfId="215" priority="116"/>
  </conditionalFormatting>
  <conditionalFormatting sqref="B4">
    <cfRule type="duplicateValues" dxfId="211" priority="93"/>
  </conditionalFormatting>
  <conditionalFormatting sqref="B4:C4">
    <cfRule type="duplicateValues" dxfId="210" priority="91"/>
  </conditionalFormatting>
  <conditionalFormatting sqref="B4:C4">
    <cfRule type="duplicateValues" dxfId="209" priority="99"/>
  </conditionalFormatting>
  <conditionalFormatting sqref="B4:C4">
    <cfRule type="duplicateValues" dxfId="208" priority="100"/>
  </conditionalFormatting>
  <conditionalFormatting sqref="B4:C4">
    <cfRule type="duplicateValues" dxfId="207" priority="98"/>
  </conditionalFormatting>
  <conditionalFormatting sqref="B4:C4">
    <cfRule type="duplicateValues" dxfId="204" priority="94"/>
    <cfRule type="duplicateValues" dxfId="206" priority="96"/>
    <cfRule type="duplicateValues" dxfId="205" priority="97"/>
  </conditionalFormatting>
  <conditionalFormatting sqref="B4:C4">
    <cfRule type="duplicateValues" dxfId="203" priority="95"/>
  </conditionalFormatting>
  <conditionalFormatting sqref="B4:C4">
    <cfRule type="duplicateValues" dxfId="202" priority="92"/>
  </conditionalFormatting>
  <conditionalFormatting sqref="B4:C4">
    <cfRule type="duplicateValues" dxfId="201" priority="89"/>
    <cfRule type="duplicateValues" dxfId="200" priority="90"/>
  </conditionalFormatting>
  <conditionalFormatting sqref="C4">
    <cfRule type="duplicateValues" dxfId="199" priority="101"/>
  </conditionalFormatting>
  <conditionalFormatting sqref="D4">
    <cfRule type="duplicateValues" dxfId="195" priority="85"/>
    <cfRule type="duplicateValues" dxfId="196" priority="86"/>
    <cfRule type="duplicateValues" dxfId="198" priority="87"/>
    <cfRule type="duplicateValues" dxfId="197" priority="88"/>
  </conditionalFormatting>
  <conditionalFormatting sqref="E4">
    <cfRule type="duplicateValues" dxfId="190" priority="80"/>
    <cfRule type="duplicateValues" dxfId="191" priority="81"/>
    <cfRule type="duplicateValues" dxfId="192" priority="82"/>
    <cfRule type="duplicateValues" dxfId="193" priority="83"/>
    <cfRule type="duplicateValues" dxfId="194" priority="84"/>
  </conditionalFormatting>
  <conditionalFormatting sqref="B5">
    <cfRule type="duplicateValues" dxfId="189" priority="71"/>
  </conditionalFormatting>
  <conditionalFormatting sqref="B5:C5">
    <cfRule type="duplicateValues" dxfId="188" priority="69"/>
  </conditionalFormatting>
  <conditionalFormatting sqref="B5:C5">
    <cfRule type="duplicateValues" dxfId="187" priority="77"/>
  </conditionalFormatting>
  <conditionalFormatting sqref="B5:C5">
    <cfRule type="duplicateValues" dxfId="186" priority="78"/>
  </conditionalFormatting>
  <conditionalFormatting sqref="B5:C5">
    <cfRule type="duplicateValues" dxfId="185" priority="76"/>
  </conditionalFormatting>
  <conditionalFormatting sqref="B5:C5">
    <cfRule type="duplicateValues" dxfId="182" priority="72"/>
    <cfRule type="duplicateValues" dxfId="184" priority="74"/>
    <cfRule type="duplicateValues" dxfId="183" priority="75"/>
  </conditionalFormatting>
  <conditionalFormatting sqref="B5:C5">
    <cfRule type="duplicateValues" dxfId="181" priority="73"/>
  </conditionalFormatting>
  <conditionalFormatting sqref="B5:C5">
    <cfRule type="duplicateValues" dxfId="180" priority="70"/>
  </conditionalFormatting>
  <conditionalFormatting sqref="B5:C5">
    <cfRule type="duplicateValues" dxfId="179" priority="67"/>
    <cfRule type="duplicateValues" dxfId="178" priority="68"/>
  </conditionalFormatting>
  <conditionalFormatting sqref="C5">
    <cfRule type="duplicateValues" dxfId="177" priority="79"/>
  </conditionalFormatting>
  <conditionalFormatting sqref="D5">
    <cfRule type="duplicateValues" dxfId="173" priority="63"/>
    <cfRule type="duplicateValues" dxfId="174" priority="64"/>
    <cfRule type="duplicateValues" dxfId="176" priority="65"/>
    <cfRule type="duplicateValues" dxfId="175" priority="66"/>
  </conditionalFormatting>
  <conditionalFormatting sqref="E5">
    <cfRule type="duplicateValues" dxfId="169" priority="58"/>
    <cfRule type="duplicateValues" dxfId="170" priority="59"/>
    <cfRule type="duplicateValues" dxfId="171" priority="60"/>
    <cfRule type="duplicateValues" dxfId="172" priority="61"/>
    <cfRule type="duplicateValues" dxfId="168" priority="62"/>
  </conditionalFormatting>
  <conditionalFormatting sqref="B6">
    <cfRule type="duplicateValues" dxfId="167" priority="49"/>
  </conditionalFormatting>
  <conditionalFormatting sqref="B6:C6">
    <cfRule type="duplicateValues" dxfId="166" priority="47"/>
  </conditionalFormatting>
  <conditionalFormatting sqref="B6:C6">
    <cfRule type="duplicateValues" dxfId="165" priority="55"/>
  </conditionalFormatting>
  <conditionalFormatting sqref="B6:C6">
    <cfRule type="duplicateValues" dxfId="164" priority="56"/>
  </conditionalFormatting>
  <conditionalFormatting sqref="B6:C6">
    <cfRule type="duplicateValues" dxfId="163" priority="54"/>
  </conditionalFormatting>
  <conditionalFormatting sqref="B6:C6">
    <cfRule type="duplicateValues" dxfId="160" priority="50"/>
    <cfRule type="duplicateValues" dxfId="162" priority="52"/>
    <cfRule type="duplicateValues" dxfId="161" priority="53"/>
  </conditionalFormatting>
  <conditionalFormatting sqref="B6:C6">
    <cfRule type="duplicateValues" dxfId="159" priority="51"/>
  </conditionalFormatting>
  <conditionalFormatting sqref="B6:C6">
    <cfRule type="duplicateValues" dxfId="158" priority="48"/>
  </conditionalFormatting>
  <conditionalFormatting sqref="B6:C6">
    <cfRule type="duplicateValues" dxfId="157" priority="45"/>
    <cfRule type="duplicateValues" dxfId="156" priority="46"/>
  </conditionalFormatting>
  <conditionalFormatting sqref="C6">
    <cfRule type="duplicateValues" dxfId="155" priority="57"/>
  </conditionalFormatting>
  <conditionalFormatting sqref="E6">
    <cfRule type="expression" dxfId="151" priority="39">
      <formula>$C1371="No"</formula>
    </cfRule>
    <cfRule type="duplicateValues" dxfId="152" priority="40"/>
    <cfRule type="duplicateValues" dxfId="153" priority="41"/>
    <cfRule type="duplicateValues" dxfId="150" priority="42"/>
    <cfRule type="duplicateValues" dxfId="154" priority="43"/>
    <cfRule type="duplicateValues" dxfId="149" priority="44"/>
  </conditionalFormatting>
  <conditionalFormatting sqref="B7">
    <cfRule type="duplicateValues" dxfId="148" priority="30"/>
  </conditionalFormatting>
  <conditionalFormatting sqref="B7:C7">
    <cfRule type="duplicateValues" dxfId="147" priority="28"/>
  </conditionalFormatting>
  <conditionalFormatting sqref="B7:C7">
    <cfRule type="duplicateValues" dxfId="146" priority="36"/>
  </conditionalFormatting>
  <conditionalFormatting sqref="B7:C7">
    <cfRule type="duplicateValues" dxfId="145" priority="37"/>
  </conditionalFormatting>
  <conditionalFormatting sqref="B7:C7">
    <cfRule type="duplicateValues" dxfId="144" priority="35"/>
  </conditionalFormatting>
  <conditionalFormatting sqref="B7:C7">
    <cfRule type="duplicateValues" dxfId="141" priority="31"/>
    <cfRule type="duplicateValues" dxfId="143" priority="33"/>
    <cfRule type="duplicateValues" dxfId="142" priority="34"/>
  </conditionalFormatting>
  <conditionalFormatting sqref="B7:C7">
    <cfRule type="duplicateValues" dxfId="140" priority="32"/>
  </conditionalFormatting>
  <conditionalFormatting sqref="B7:C7">
    <cfRule type="duplicateValues" dxfId="139" priority="29"/>
  </conditionalFormatting>
  <conditionalFormatting sqref="B7:C7">
    <cfRule type="duplicateValues" dxfId="138" priority="26"/>
    <cfRule type="duplicateValues" dxfId="137" priority="27"/>
  </conditionalFormatting>
  <conditionalFormatting sqref="C7">
    <cfRule type="duplicateValues" dxfId="136" priority="38"/>
  </conditionalFormatting>
  <conditionalFormatting sqref="E7">
    <cfRule type="duplicateValues" dxfId="131" priority="21"/>
    <cfRule type="duplicateValues" dxfId="135" priority="22"/>
    <cfRule type="duplicateValues" dxfId="134" priority="23"/>
    <cfRule type="duplicateValues" dxfId="133" priority="24"/>
    <cfRule type="duplicateValues" dxfId="132" priority="25"/>
  </conditionalFormatting>
  <conditionalFormatting sqref="B8">
    <cfRule type="duplicateValues" dxfId="130" priority="12"/>
  </conditionalFormatting>
  <conditionalFormatting sqref="B8:C8">
    <cfRule type="duplicateValues" dxfId="129" priority="10"/>
  </conditionalFormatting>
  <conditionalFormatting sqref="B8:C8">
    <cfRule type="duplicateValues" dxfId="128" priority="18"/>
  </conditionalFormatting>
  <conditionalFormatting sqref="B8:C8">
    <cfRule type="duplicateValues" dxfId="127" priority="19"/>
  </conditionalFormatting>
  <conditionalFormatting sqref="B8:C8">
    <cfRule type="duplicateValues" dxfId="126" priority="17"/>
  </conditionalFormatting>
  <conditionalFormatting sqref="B8:C8">
    <cfRule type="duplicateValues" dxfId="123" priority="13"/>
    <cfRule type="duplicateValues" dxfId="125" priority="15"/>
    <cfRule type="duplicateValues" dxfId="124" priority="16"/>
  </conditionalFormatting>
  <conditionalFormatting sqref="B8:C8">
    <cfRule type="duplicateValues" dxfId="122" priority="14"/>
  </conditionalFormatting>
  <conditionalFormatting sqref="B8:C8">
    <cfRule type="duplicateValues" dxfId="121" priority="11"/>
  </conditionalFormatting>
  <conditionalFormatting sqref="B8:C8">
    <cfRule type="duplicateValues" dxfId="120" priority="8"/>
    <cfRule type="duplicateValues" dxfId="119" priority="9"/>
  </conditionalFormatting>
  <conditionalFormatting sqref="C8">
    <cfRule type="duplicateValues" dxfId="118" priority="20"/>
  </conditionalFormatting>
  <conditionalFormatting sqref="D8">
    <cfRule type="duplicateValues" dxfId="117" priority="7"/>
  </conditionalFormatting>
  <conditionalFormatting sqref="E8">
    <cfRule type="expression" dxfId="116" priority="1">
      <formula>$C1148="No"</formula>
    </cfRule>
    <cfRule type="duplicateValues" dxfId="114" priority="2"/>
    <cfRule type="duplicateValues" dxfId="115" priority="3"/>
    <cfRule type="duplicateValues" dxfId="113" priority="4"/>
    <cfRule type="duplicateValues" dxfId="112" priority="5"/>
    <cfRule type="duplicateValues" dxfId="111" priority="6"/>
  </conditionalFormatting>
  <dataValidations count="3">
    <dataValidation type="list" allowBlank="1" showInputMessage="1" showErrorMessage="1" sqref="G2:R8" xr:uid="{CCBA8502-721A-4266-8FBC-867A6F2EB52F}">
      <formula1>"5,4,3,2,1,0"</formula1>
    </dataValidation>
    <dataValidation type="list" allowBlank="1" showInputMessage="1" showErrorMessage="1" sqref="F2:F8" xr:uid="{96BB74B9-240D-4D3A-989B-44508B0CDA4E}">
      <formula1>"Inbound,Outbound"</formula1>
    </dataValidation>
    <dataValidation type="whole" operator="greaterThanOrEqual" allowBlank="1" showInputMessage="1" showErrorMessage="1" sqref="E3:E6 E8" xr:uid="{DF13037F-6E7F-45C0-BC61-611DE80814A3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9DA11-FD62-422D-BF16-5825C7A7F61D}">
  <dimension ref="A1:V8"/>
  <sheetViews>
    <sheetView tabSelected="1" workbookViewId="0">
      <selection activeCell="D13" sqref="D13"/>
    </sheetView>
  </sheetViews>
  <sheetFormatPr defaultRowHeight="14.5"/>
  <cols>
    <col min="1" max="1" width="13.6328125" style="17" customWidth="1"/>
    <col min="2" max="2" width="13.26953125" style="17" customWidth="1"/>
    <col min="3" max="3" width="12" style="17" customWidth="1"/>
    <col min="4" max="4" width="18.90625" style="17" customWidth="1"/>
    <col min="5" max="15" width="8.7265625" style="17"/>
    <col min="16" max="16" width="11" style="17" customWidth="1"/>
    <col min="17" max="16384" width="8.7265625" style="17"/>
  </cols>
  <sheetData>
    <row r="1" spans="1:22" s="7" customFormat="1" ht="62">
      <c r="A1" s="1" t="s">
        <v>23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24</v>
      </c>
      <c r="K1" s="2" t="s">
        <v>25</v>
      </c>
      <c r="L1" s="2" t="s">
        <v>13</v>
      </c>
      <c r="M1" s="2" t="s">
        <v>26</v>
      </c>
      <c r="N1" s="2" t="s">
        <v>16</v>
      </c>
      <c r="O1" s="4" t="s">
        <v>17</v>
      </c>
      <c r="P1" s="4" t="s">
        <v>18</v>
      </c>
      <c r="Q1" s="4" t="s">
        <v>19</v>
      </c>
      <c r="R1" s="2" t="s">
        <v>20</v>
      </c>
      <c r="S1" s="4" t="s">
        <v>21</v>
      </c>
      <c r="T1" s="4" t="s">
        <v>22</v>
      </c>
      <c r="U1" s="6"/>
    </row>
    <row r="2" spans="1:22" s="7" customFormat="1" ht="15" customHeight="1">
      <c r="A2" s="9">
        <v>46146</v>
      </c>
      <c r="B2" s="10" t="s">
        <v>49</v>
      </c>
      <c r="C2" s="10">
        <v>10421362</v>
      </c>
      <c r="D2" s="11" t="s">
        <v>50</v>
      </c>
      <c r="E2" s="20">
        <v>3656265</v>
      </c>
      <c r="F2" s="11" t="s">
        <v>51</v>
      </c>
      <c r="G2" s="11">
        <v>5</v>
      </c>
      <c r="H2" s="11">
        <v>5</v>
      </c>
      <c r="I2" s="11">
        <v>4</v>
      </c>
      <c r="J2" s="11">
        <v>5</v>
      </c>
      <c r="K2" s="11">
        <v>5</v>
      </c>
      <c r="L2" s="11">
        <v>4</v>
      </c>
      <c r="M2" s="11">
        <v>5</v>
      </c>
      <c r="N2" s="11">
        <v>5</v>
      </c>
      <c r="O2" s="11">
        <v>4</v>
      </c>
      <c r="P2" s="12">
        <f t="shared" ref="P2:P8" si="0">Q2/45</f>
        <v>0.93333333333333335</v>
      </c>
      <c r="Q2" s="11">
        <f t="shared" ref="Q2:Q8" si="1">SUM(G2:O2)</f>
        <v>42</v>
      </c>
      <c r="R2" s="11"/>
      <c r="S2" s="11"/>
      <c r="T2" s="11" t="s">
        <v>32</v>
      </c>
      <c r="U2" s="19"/>
    </row>
    <row r="3" spans="1:22" s="7" customFormat="1" ht="19.5" customHeight="1">
      <c r="A3" s="9">
        <v>46146</v>
      </c>
      <c r="B3" s="10" t="s">
        <v>52</v>
      </c>
      <c r="C3" s="21">
        <v>10409925</v>
      </c>
      <c r="D3" s="13" t="s">
        <v>53</v>
      </c>
      <c r="E3" s="6">
        <v>3651482</v>
      </c>
      <c r="F3" s="11" t="s">
        <v>51</v>
      </c>
      <c r="G3" s="11">
        <v>5</v>
      </c>
      <c r="H3" s="11">
        <v>5</v>
      </c>
      <c r="I3" s="11">
        <v>4</v>
      </c>
      <c r="J3" s="11">
        <v>4</v>
      </c>
      <c r="K3" s="11">
        <v>4</v>
      </c>
      <c r="L3" s="11">
        <v>4</v>
      </c>
      <c r="M3" s="11">
        <v>5</v>
      </c>
      <c r="N3" s="11">
        <v>5</v>
      </c>
      <c r="O3" s="11">
        <v>5</v>
      </c>
      <c r="P3" s="12">
        <f t="shared" si="0"/>
        <v>0.91111111111111109</v>
      </c>
      <c r="Q3" s="11">
        <f t="shared" si="1"/>
        <v>41</v>
      </c>
      <c r="R3" s="11" t="s">
        <v>30</v>
      </c>
      <c r="S3" s="11" t="s">
        <v>54</v>
      </c>
      <c r="T3" s="11" t="s">
        <v>32</v>
      </c>
      <c r="U3" s="6"/>
    </row>
    <row r="4" spans="1:22" s="7" customFormat="1" ht="15.5">
      <c r="A4" s="9">
        <v>46161</v>
      </c>
      <c r="B4" s="10" t="s">
        <v>55</v>
      </c>
      <c r="C4" s="11">
        <v>10458052</v>
      </c>
      <c r="D4" s="22" t="s">
        <v>56</v>
      </c>
      <c r="E4" s="23">
        <v>3681633</v>
      </c>
      <c r="F4" s="11" t="s">
        <v>51</v>
      </c>
      <c r="G4" s="11">
        <v>5</v>
      </c>
      <c r="H4" s="11">
        <v>5</v>
      </c>
      <c r="I4" s="11">
        <v>5</v>
      </c>
      <c r="J4" s="11">
        <v>3</v>
      </c>
      <c r="K4" s="11">
        <v>5</v>
      </c>
      <c r="L4" s="11">
        <v>4</v>
      </c>
      <c r="M4" s="11">
        <v>5</v>
      </c>
      <c r="N4" s="11">
        <v>4</v>
      </c>
      <c r="O4" s="11">
        <v>4</v>
      </c>
      <c r="P4" s="12">
        <f t="shared" si="0"/>
        <v>0.88888888888888884</v>
      </c>
      <c r="Q4" s="11">
        <f t="shared" si="1"/>
        <v>40</v>
      </c>
      <c r="R4" s="11" t="s">
        <v>30</v>
      </c>
      <c r="S4" s="11" t="s">
        <v>57</v>
      </c>
      <c r="T4" s="11" t="s">
        <v>32</v>
      </c>
      <c r="U4" s="19" t="s">
        <v>58</v>
      </c>
    </row>
    <row r="5" spans="1:22" s="7" customFormat="1" ht="15.5">
      <c r="A5" s="9">
        <v>46162</v>
      </c>
      <c r="B5" s="10" t="s">
        <v>59</v>
      </c>
      <c r="C5" s="11">
        <v>10425587</v>
      </c>
      <c r="D5" s="13" t="s">
        <v>60</v>
      </c>
      <c r="E5" s="18">
        <v>3636544</v>
      </c>
      <c r="F5" s="11" t="s">
        <v>51</v>
      </c>
      <c r="G5" s="11">
        <v>5</v>
      </c>
      <c r="H5" s="11">
        <v>5</v>
      </c>
      <c r="I5" s="11">
        <v>4</v>
      </c>
      <c r="J5" s="11">
        <v>3</v>
      </c>
      <c r="K5" s="11">
        <v>5</v>
      </c>
      <c r="L5" s="11">
        <v>4</v>
      </c>
      <c r="M5" s="11">
        <v>5</v>
      </c>
      <c r="N5" s="11">
        <v>4</v>
      </c>
      <c r="O5" s="11">
        <v>4</v>
      </c>
      <c r="P5" s="12">
        <f t="shared" si="0"/>
        <v>0.8666666666666667</v>
      </c>
      <c r="Q5" s="11">
        <f t="shared" si="1"/>
        <v>39</v>
      </c>
      <c r="R5" s="11" t="s">
        <v>30</v>
      </c>
      <c r="S5" s="11" t="s">
        <v>61</v>
      </c>
      <c r="T5" s="11" t="s">
        <v>32</v>
      </c>
      <c r="U5" s="19" t="s">
        <v>58</v>
      </c>
    </row>
    <row r="6" spans="1:22" s="7" customFormat="1" ht="15.5">
      <c r="A6" s="9">
        <v>46159</v>
      </c>
      <c r="B6" s="10" t="s">
        <v>62</v>
      </c>
      <c r="C6" s="11">
        <v>2348815</v>
      </c>
      <c r="D6" s="11" t="s">
        <v>34</v>
      </c>
      <c r="E6" s="13">
        <v>3544649</v>
      </c>
      <c r="F6" s="11" t="s">
        <v>51</v>
      </c>
      <c r="G6" s="11">
        <v>4</v>
      </c>
      <c r="H6" s="11">
        <v>4</v>
      </c>
      <c r="I6" s="11">
        <v>3</v>
      </c>
      <c r="J6" s="11">
        <v>4</v>
      </c>
      <c r="K6" s="11">
        <v>4</v>
      </c>
      <c r="L6" s="11">
        <v>4</v>
      </c>
      <c r="M6" s="11">
        <v>5</v>
      </c>
      <c r="N6" s="11">
        <v>4</v>
      </c>
      <c r="O6" s="11">
        <v>4</v>
      </c>
      <c r="P6" s="12">
        <f t="shared" si="0"/>
        <v>0.8</v>
      </c>
      <c r="Q6" s="11">
        <f t="shared" si="1"/>
        <v>36</v>
      </c>
      <c r="R6" s="11" t="s">
        <v>30</v>
      </c>
      <c r="S6" s="11" t="s">
        <v>63</v>
      </c>
      <c r="T6" s="11" t="s">
        <v>32</v>
      </c>
      <c r="U6" s="19" t="s">
        <v>64</v>
      </c>
    </row>
    <row r="7" spans="1:22" s="7" customFormat="1" ht="15.5">
      <c r="A7" s="9">
        <v>46146</v>
      </c>
      <c r="B7" s="10" t="s">
        <v>65</v>
      </c>
      <c r="C7" s="11">
        <v>10410004</v>
      </c>
      <c r="D7" s="11" t="s">
        <v>66</v>
      </c>
      <c r="E7" s="11">
        <v>3636521</v>
      </c>
      <c r="F7" s="11" t="s">
        <v>51</v>
      </c>
      <c r="G7" s="11">
        <v>5</v>
      </c>
      <c r="H7" s="11">
        <v>4</v>
      </c>
      <c r="I7" s="11">
        <v>4</v>
      </c>
      <c r="J7" s="11">
        <v>4</v>
      </c>
      <c r="K7" s="11">
        <v>4</v>
      </c>
      <c r="L7" s="11">
        <v>4</v>
      </c>
      <c r="M7" s="11">
        <v>5</v>
      </c>
      <c r="N7" s="11">
        <v>4</v>
      </c>
      <c r="O7" s="11">
        <v>4</v>
      </c>
      <c r="P7" s="12">
        <f t="shared" si="0"/>
        <v>0.84444444444444444</v>
      </c>
      <c r="Q7" s="11">
        <f t="shared" si="1"/>
        <v>38</v>
      </c>
      <c r="R7" s="11" t="s">
        <v>30</v>
      </c>
      <c r="S7" s="11" t="s">
        <v>67</v>
      </c>
      <c r="T7" s="11" t="s">
        <v>32</v>
      </c>
      <c r="U7" s="19" t="s">
        <v>58</v>
      </c>
    </row>
    <row r="8" spans="1:22" s="7" customFormat="1" ht="15.5">
      <c r="A8" s="9">
        <v>46152</v>
      </c>
      <c r="B8" s="10" t="s">
        <v>68</v>
      </c>
      <c r="C8" s="11" t="s">
        <v>69</v>
      </c>
      <c r="D8" s="16" t="s">
        <v>70</v>
      </c>
      <c r="E8" s="11">
        <v>3620212</v>
      </c>
      <c r="F8" s="11" t="s">
        <v>51</v>
      </c>
      <c r="G8" s="11">
        <v>5</v>
      </c>
      <c r="H8" s="11">
        <v>5</v>
      </c>
      <c r="I8" s="11">
        <v>4</v>
      </c>
      <c r="J8" s="11">
        <v>5</v>
      </c>
      <c r="K8" s="11">
        <v>5</v>
      </c>
      <c r="L8" s="11">
        <v>4</v>
      </c>
      <c r="M8" s="11">
        <v>5</v>
      </c>
      <c r="N8" s="11">
        <v>5</v>
      </c>
      <c r="O8" s="11">
        <v>5</v>
      </c>
      <c r="P8" s="12">
        <f t="shared" si="0"/>
        <v>0.9555555555555556</v>
      </c>
      <c r="Q8" s="11">
        <f t="shared" si="1"/>
        <v>43</v>
      </c>
      <c r="R8" s="11"/>
      <c r="S8" s="11"/>
      <c r="T8" s="11" t="s">
        <v>32</v>
      </c>
      <c r="U8" s="6" t="s">
        <v>71</v>
      </c>
      <c r="V8" s="6"/>
    </row>
  </sheetData>
  <conditionalFormatting sqref="A1:B1">
    <cfRule type="duplicateValues" dxfId="270" priority="117"/>
  </conditionalFormatting>
  <conditionalFormatting sqref="B1:C1">
    <cfRule type="duplicateValues" dxfId="269" priority="112"/>
  </conditionalFormatting>
  <conditionalFormatting sqref="B1:C1">
    <cfRule type="duplicateValues" dxfId="268" priority="119"/>
  </conditionalFormatting>
  <conditionalFormatting sqref="B1:C1">
    <cfRule type="duplicateValues" dxfId="267" priority="122"/>
  </conditionalFormatting>
  <conditionalFormatting sqref="B1:C1">
    <cfRule type="duplicateValues" dxfId="266" priority="118"/>
  </conditionalFormatting>
  <conditionalFormatting sqref="B1:C1">
    <cfRule type="duplicateValues" dxfId="265" priority="113"/>
  </conditionalFormatting>
  <conditionalFormatting sqref="B1:C1">
    <cfRule type="duplicateValues" dxfId="264" priority="116"/>
  </conditionalFormatting>
  <conditionalFormatting sqref="B1:C1">
    <cfRule type="duplicateValues" dxfId="263" priority="120"/>
  </conditionalFormatting>
  <conditionalFormatting sqref="B1:C1">
    <cfRule type="duplicateValues" dxfId="262" priority="121"/>
  </conditionalFormatting>
  <conditionalFormatting sqref="B1:C1">
    <cfRule type="duplicateValues" dxfId="261" priority="123"/>
  </conditionalFormatting>
  <conditionalFormatting sqref="C1">
    <cfRule type="duplicateValues" dxfId="260" priority="124"/>
  </conditionalFormatting>
  <conditionalFormatting sqref="C1">
    <cfRule type="duplicateValues" dxfId="259" priority="114"/>
  </conditionalFormatting>
  <conditionalFormatting sqref="C1:E1">
    <cfRule type="duplicateValues" dxfId="258" priority="115"/>
  </conditionalFormatting>
  <conditionalFormatting sqref="B2">
    <cfRule type="duplicateValues" dxfId="110" priority="101"/>
  </conditionalFormatting>
  <conditionalFormatting sqref="B2:C2">
    <cfRule type="duplicateValues" dxfId="109" priority="106"/>
  </conditionalFormatting>
  <conditionalFormatting sqref="B2:C2">
    <cfRule type="duplicateValues" dxfId="108" priority="99"/>
  </conditionalFormatting>
  <conditionalFormatting sqref="B2:C2">
    <cfRule type="duplicateValues" dxfId="107" priority="103"/>
  </conditionalFormatting>
  <conditionalFormatting sqref="B2:C2">
    <cfRule type="duplicateValues" dxfId="106" priority="107"/>
  </conditionalFormatting>
  <conditionalFormatting sqref="B2:C2">
    <cfRule type="duplicateValues" dxfId="105" priority="102"/>
  </conditionalFormatting>
  <conditionalFormatting sqref="B2:C2">
    <cfRule type="duplicateValues" dxfId="104" priority="100"/>
  </conditionalFormatting>
  <conditionalFormatting sqref="B2:C2">
    <cfRule type="duplicateValues" dxfId="103" priority="104"/>
  </conditionalFormatting>
  <conditionalFormatting sqref="B2:C2">
    <cfRule type="duplicateValues" dxfId="102" priority="105"/>
  </conditionalFormatting>
  <conditionalFormatting sqref="B2:C2">
    <cfRule type="duplicateValues" dxfId="101" priority="108"/>
  </conditionalFormatting>
  <conditionalFormatting sqref="C2">
    <cfRule type="duplicateValues" dxfId="100" priority="109"/>
  </conditionalFormatting>
  <conditionalFormatting sqref="C2">
    <cfRule type="duplicateValues" dxfId="99" priority="110"/>
    <cfRule type="duplicateValues" dxfId="98" priority="111"/>
  </conditionalFormatting>
  <conditionalFormatting sqref="B3">
    <cfRule type="duplicateValues" dxfId="97" priority="91"/>
  </conditionalFormatting>
  <conditionalFormatting sqref="B3">
    <cfRule type="duplicateValues" dxfId="96" priority="96"/>
  </conditionalFormatting>
  <conditionalFormatting sqref="B3:C3">
    <cfRule type="duplicateValues" dxfId="95" priority="89"/>
  </conditionalFormatting>
  <conditionalFormatting sqref="B3">
    <cfRule type="duplicateValues" dxfId="94" priority="93"/>
  </conditionalFormatting>
  <conditionalFormatting sqref="B3">
    <cfRule type="duplicateValues" dxfId="93" priority="97"/>
  </conditionalFormatting>
  <conditionalFormatting sqref="B3">
    <cfRule type="duplicateValues" dxfId="92" priority="92"/>
  </conditionalFormatting>
  <conditionalFormatting sqref="B3:C3">
    <cfRule type="duplicateValues" dxfId="91" priority="90"/>
  </conditionalFormatting>
  <conditionalFormatting sqref="B3">
    <cfRule type="duplicateValues" dxfId="90" priority="94"/>
  </conditionalFormatting>
  <conditionalFormatting sqref="B3">
    <cfRule type="duplicateValues" dxfId="89" priority="95"/>
  </conditionalFormatting>
  <conditionalFormatting sqref="B3">
    <cfRule type="duplicateValues" dxfId="88" priority="98"/>
  </conditionalFormatting>
  <conditionalFormatting sqref="B4">
    <cfRule type="duplicateValues" dxfId="87" priority="78"/>
  </conditionalFormatting>
  <conditionalFormatting sqref="B4:C4">
    <cfRule type="duplicateValues" dxfId="86" priority="83"/>
  </conditionalFormatting>
  <conditionalFormatting sqref="B4:C4">
    <cfRule type="duplicateValues" dxfId="85" priority="76"/>
  </conditionalFormatting>
  <conditionalFormatting sqref="B4:C4">
    <cfRule type="duplicateValues" dxfId="84" priority="80"/>
  </conditionalFormatting>
  <conditionalFormatting sqref="B4:C4">
    <cfRule type="duplicateValues" dxfId="83" priority="84"/>
  </conditionalFormatting>
  <conditionalFormatting sqref="B4:C4">
    <cfRule type="duplicateValues" dxfId="82" priority="79"/>
  </conditionalFormatting>
  <conditionalFormatting sqref="B4:C4">
    <cfRule type="duplicateValues" dxfId="81" priority="77"/>
  </conditionalFormatting>
  <conditionalFormatting sqref="B4:C4">
    <cfRule type="duplicateValues" dxfId="80" priority="81"/>
  </conditionalFormatting>
  <conditionalFormatting sqref="B4:C4">
    <cfRule type="duplicateValues" dxfId="79" priority="82"/>
  </conditionalFormatting>
  <conditionalFormatting sqref="B4:C4">
    <cfRule type="duplicateValues" dxfId="78" priority="85"/>
  </conditionalFormatting>
  <conditionalFormatting sqref="C4">
    <cfRule type="duplicateValues" dxfId="77" priority="86"/>
  </conditionalFormatting>
  <conditionalFormatting sqref="C4">
    <cfRule type="duplicateValues" dxfId="76" priority="87"/>
    <cfRule type="duplicateValues" dxfId="75" priority="88"/>
  </conditionalFormatting>
  <conditionalFormatting sqref="B5">
    <cfRule type="duplicateValues" dxfId="74" priority="65"/>
  </conditionalFormatting>
  <conditionalFormatting sqref="B5:C5">
    <cfRule type="duplicateValues" dxfId="73" priority="70"/>
  </conditionalFormatting>
  <conditionalFormatting sqref="B5:C5">
    <cfRule type="duplicateValues" dxfId="72" priority="63"/>
  </conditionalFormatting>
  <conditionalFormatting sqref="B5:C5">
    <cfRule type="duplicateValues" dxfId="71" priority="67"/>
  </conditionalFormatting>
  <conditionalFormatting sqref="B5:C5">
    <cfRule type="duplicateValues" dxfId="70" priority="71"/>
  </conditionalFormatting>
  <conditionalFormatting sqref="B5:C5">
    <cfRule type="duplicateValues" dxfId="69" priority="66"/>
  </conditionalFormatting>
  <conditionalFormatting sqref="B5:C5">
    <cfRule type="duplicateValues" dxfId="68" priority="64"/>
  </conditionalFormatting>
  <conditionalFormatting sqref="B5:C5">
    <cfRule type="duplicateValues" dxfId="67" priority="68"/>
  </conditionalFormatting>
  <conditionalFormatting sqref="B5:C5">
    <cfRule type="duplicateValues" dxfId="66" priority="69"/>
  </conditionalFormatting>
  <conditionalFormatting sqref="B5:C5">
    <cfRule type="duplicateValues" dxfId="65" priority="72"/>
  </conditionalFormatting>
  <conditionalFormatting sqref="C5">
    <cfRule type="duplicateValues" dxfId="64" priority="73"/>
  </conditionalFormatting>
  <conditionalFormatting sqref="C5">
    <cfRule type="duplicateValues" dxfId="63" priority="74"/>
    <cfRule type="duplicateValues" dxfId="62" priority="75"/>
  </conditionalFormatting>
  <conditionalFormatting sqref="B6">
    <cfRule type="duplicateValues" dxfId="61" priority="52"/>
  </conditionalFormatting>
  <conditionalFormatting sqref="B6:C6">
    <cfRule type="duplicateValues" dxfId="60" priority="57"/>
  </conditionalFormatting>
  <conditionalFormatting sqref="B6:C6">
    <cfRule type="duplicateValues" dxfId="59" priority="50"/>
  </conditionalFormatting>
  <conditionalFormatting sqref="B6:C6">
    <cfRule type="duplicateValues" dxfId="58" priority="54"/>
  </conditionalFormatting>
  <conditionalFormatting sqref="B6:C6">
    <cfRule type="duplicateValues" dxfId="57" priority="58"/>
  </conditionalFormatting>
  <conditionalFormatting sqref="B6:C6">
    <cfRule type="duplicateValues" dxfId="56" priority="53"/>
  </conditionalFormatting>
  <conditionalFormatting sqref="B6:C6">
    <cfRule type="duplicateValues" dxfId="55" priority="51"/>
  </conditionalFormatting>
  <conditionalFormatting sqref="B6:C6">
    <cfRule type="duplicateValues" dxfId="54" priority="55"/>
  </conditionalFormatting>
  <conditionalFormatting sqref="B6:C6">
    <cfRule type="duplicateValues" dxfId="53" priority="56"/>
  </conditionalFormatting>
  <conditionalFormatting sqref="B6:C6">
    <cfRule type="duplicateValues" dxfId="52" priority="59"/>
  </conditionalFormatting>
  <conditionalFormatting sqref="C6">
    <cfRule type="duplicateValues" dxfId="51" priority="60"/>
  </conditionalFormatting>
  <conditionalFormatting sqref="C6">
    <cfRule type="duplicateValues" dxfId="50" priority="61"/>
    <cfRule type="duplicateValues" dxfId="49" priority="62"/>
  </conditionalFormatting>
  <conditionalFormatting sqref="E6">
    <cfRule type="duplicateValues" dxfId="46" priority="35"/>
    <cfRule type="duplicateValues" dxfId="47" priority="36"/>
    <cfRule type="duplicateValues" dxfId="48" priority="37"/>
    <cfRule type="duplicateValues" dxfId="34" priority="38"/>
    <cfRule type="duplicateValues" dxfId="35" priority="39"/>
    <cfRule type="duplicateValues" dxfId="36" priority="40"/>
    <cfRule type="duplicateValues" dxfId="37" priority="41"/>
    <cfRule type="duplicateValues" dxfId="38" priority="42"/>
    <cfRule type="duplicateValues" dxfId="39" priority="43"/>
    <cfRule type="duplicateValues" dxfId="40" priority="44"/>
    <cfRule type="duplicateValues" dxfId="41" priority="45"/>
    <cfRule type="duplicateValues" dxfId="45" priority="46"/>
    <cfRule type="duplicateValues" dxfId="42" priority="47"/>
    <cfRule type="duplicateValues" dxfId="43" priority="48"/>
    <cfRule type="duplicateValues" dxfId="44" priority="49"/>
  </conditionalFormatting>
  <conditionalFormatting sqref="B7">
    <cfRule type="duplicateValues" dxfId="33" priority="24"/>
  </conditionalFormatting>
  <conditionalFormatting sqref="B7">
    <cfRule type="duplicateValues" dxfId="32" priority="29"/>
  </conditionalFormatting>
  <conditionalFormatting sqref="B7:C7">
    <cfRule type="duplicateValues" dxfId="31" priority="22"/>
  </conditionalFormatting>
  <conditionalFormatting sqref="B7">
    <cfRule type="duplicateValues" dxfId="30" priority="26"/>
  </conditionalFormatting>
  <conditionalFormatting sqref="B7">
    <cfRule type="duplicateValues" dxfId="29" priority="30"/>
  </conditionalFormatting>
  <conditionalFormatting sqref="B7">
    <cfRule type="duplicateValues" dxfId="28" priority="25"/>
  </conditionalFormatting>
  <conditionalFormatting sqref="B7">
    <cfRule type="duplicateValues" dxfId="27" priority="23"/>
  </conditionalFormatting>
  <conditionalFormatting sqref="B7">
    <cfRule type="duplicateValues" dxfId="26" priority="27"/>
  </conditionalFormatting>
  <conditionalFormatting sqref="B7">
    <cfRule type="duplicateValues" dxfId="25" priority="28"/>
  </conditionalFormatting>
  <conditionalFormatting sqref="B7">
    <cfRule type="duplicateValues" dxfId="24" priority="31"/>
  </conditionalFormatting>
  <conditionalFormatting sqref="C7">
    <cfRule type="duplicateValues" dxfId="23" priority="32"/>
  </conditionalFormatting>
  <conditionalFormatting sqref="C7">
    <cfRule type="duplicateValues" dxfId="17" priority="14"/>
    <cfRule type="duplicateValues" dxfId="18" priority="15"/>
    <cfRule type="duplicateValues" dxfId="19" priority="16"/>
    <cfRule type="duplicateValues" dxfId="15" priority="17"/>
    <cfRule type="duplicateValues" dxfId="20" priority="18"/>
    <cfRule type="duplicateValues" dxfId="21" priority="19"/>
    <cfRule type="duplicateValues" dxfId="22" priority="20"/>
    <cfRule type="duplicateValues" dxfId="16" priority="21"/>
  </conditionalFormatting>
  <conditionalFormatting sqref="C7">
    <cfRule type="duplicateValues" dxfId="14" priority="33"/>
    <cfRule type="duplicateValues" dxfId="13" priority="34"/>
  </conditionalFormatting>
  <conditionalFormatting sqref="B8">
    <cfRule type="duplicateValues" dxfId="12" priority="3"/>
  </conditionalFormatting>
  <conditionalFormatting sqref="B8:C8">
    <cfRule type="duplicateValues" dxfId="11" priority="8"/>
  </conditionalFormatting>
  <conditionalFormatting sqref="B8:C8">
    <cfRule type="duplicateValues" dxfId="10" priority="1"/>
  </conditionalFormatting>
  <conditionalFormatting sqref="B8:C8">
    <cfRule type="duplicateValues" dxfId="9" priority="5"/>
  </conditionalFormatting>
  <conditionalFormatting sqref="B8:C8">
    <cfRule type="duplicateValues" dxfId="8" priority="9"/>
  </conditionalFormatting>
  <conditionalFormatting sqref="B8:C8">
    <cfRule type="duplicateValues" dxfId="7" priority="4"/>
  </conditionalFormatting>
  <conditionalFormatting sqref="B8:C8">
    <cfRule type="duplicateValues" dxfId="6" priority="2"/>
  </conditionalFormatting>
  <conditionalFormatting sqref="B8:C8">
    <cfRule type="duplicateValues" dxfId="5" priority="6"/>
  </conditionalFormatting>
  <conditionalFormatting sqref="B8:C8">
    <cfRule type="duplicateValues" dxfId="4" priority="7"/>
  </conditionalFormatting>
  <conditionalFormatting sqref="B8:C8">
    <cfRule type="duplicateValues" dxfId="3" priority="10"/>
  </conditionalFormatting>
  <conditionalFormatting sqref="C8">
    <cfRule type="duplicateValues" dxfId="2" priority="11"/>
  </conditionalFormatting>
  <conditionalFormatting sqref="C8">
    <cfRule type="duplicateValues" dxfId="1" priority="12"/>
    <cfRule type="duplicateValues" dxfId="0" priority="13"/>
  </conditionalFormatting>
  <dataValidations count="3">
    <dataValidation type="list" allowBlank="1" showInputMessage="1" showErrorMessage="1" sqref="G2:O8" xr:uid="{432EDFD5-E02A-434F-BDD9-8D3EFC14CA0D}">
      <formula1>"5,4,3,2,1,0"</formula1>
    </dataValidation>
    <dataValidation type="list" allowBlank="1" showInputMessage="1" showErrorMessage="1" sqref="F2:F8" xr:uid="{74E14AE1-7F0F-45D0-BCCD-381D8FCC5ACB}">
      <formula1>"Inbound,Outbound"</formula1>
    </dataValidation>
    <dataValidation type="whole" operator="greaterThanOrEqual" allowBlank="1" showInputMessage="1" showErrorMessage="1" sqref="E6" xr:uid="{9AF79100-962C-4F87-9436-D1AB9595371A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</vt:lpstr>
      <vt:lpstr>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Priyanka</dc:creator>
  <cp:lastModifiedBy>Islam, Priyanka</cp:lastModifiedBy>
  <dcterms:created xsi:type="dcterms:W3CDTF">2015-06-05T18:17:20Z</dcterms:created>
  <dcterms:modified xsi:type="dcterms:W3CDTF">2026-08-02T11:26:35Z</dcterms:modified>
</cp:coreProperties>
</file>